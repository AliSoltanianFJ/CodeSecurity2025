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EducationalFiles\Massey\MInfSc\Re\Scenarios\TestScenariosFineTuningLeakage\TestScenariosFineTuningGeneralisability\"/>
    </mc:Choice>
  </mc:AlternateContent>
  <xr:revisionPtr revIDLastSave="0" documentId="13_ncr:1_{04A139F7-19A1-4181-B752-8E68D605E7AE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" i="1" l="1"/>
  <c r="L80" i="1" s="1"/>
  <c r="L79" i="1"/>
  <c r="L77" i="1"/>
  <c r="K78" i="1"/>
  <c r="K79" i="1"/>
  <c r="K77" i="1"/>
  <c r="K72" i="1"/>
  <c r="K73" i="1"/>
  <c r="L72" i="1"/>
  <c r="L73" i="1"/>
  <c r="L71" i="1"/>
  <c r="L74" i="1" s="1"/>
  <c r="K71" i="1"/>
  <c r="L66" i="1"/>
  <c r="L67" i="1"/>
  <c r="L65" i="1"/>
  <c r="K66" i="1"/>
  <c r="K67" i="1"/>
  <c r="K65" i="1"/>
  <c r="K68" i="1" s="1"/>
  <c r="L60" i="1"/>
  <c r="L59" i="1"/>
  <c r="K59" i="1"/>
  <c r="L57" i="1"/>
  <c r="K57" i="1"/>
  <c r="K60" i="1" s="1"/>
  <c r="L53" i="1"/>
  <c r="L51" i="1"/>
  <c r="L54" i="1" s="1"/>
  <c r="K53" i="1"/>
  <c r="K51" i="1"/>
  <c r="L48" i="1"/>
  <c r="L47" i="1"/>
  <c r="L45" i="1"/>
  <c r="K47" i="1"/>
  <c r="K45" i="1"/>
  <c r="L38" i="1"/>
  <c r="L39" i="1"/>
  <c r="K38" i="1"/>
  <c r="K39" i="1"/>
  <c r="L37" i="1"/>
  <c r="L40" i="1" s="1"/>
  <c r="K37" i="1"/>
  <c r="L33" i="1"/>
  <c r="L32" i="1"/>
  <c r="K32" i="1"/>
  <c r="K33" i="1"/>
  <c r="L31" i="1"/>
  <c r="K31" i="1"/>
  <c r="L26" i="1"/>
  <c r="L27" i="1"/>
  <c r="K26" i="1"/>
  <c r="K27" i="1"/>
  <c r="L25" i="1"/>
  <c r="L28" i="1" s="1"/>
  <c r="K25" i="1"/>
  <c r="K28" i="1" s="1"/>
  <c r="L18" i="1"/>
  <c r="L20" i="1" s="1"/>
  <c r="L19" i="1"/>
  <c r="K18" i="1"/>
  <c r="K19" i="1"/>
  <c r="K17" i="1"/>
  <c r="L17" i="1"/>
  <c r="L12" i="1"/>
  <c r="K12" i="1"/>
  <c r="K14" i="1" s="1"/>
  <c r="L11" i="1"/>
  <c r="L14" i="1" s="1"/>
  <c r="K11" i="1"/>
  <c r="K8" i="1"/>
  <c r="L6" i="1"/>
  <c r="L8" i="1" s="1"/>
  <c r="L7" i="1"/>
  <c r="K6" i="1"/>
  <c r="K7" i="1"/>
  <c r="L5" i="1"/>
  <c r="K5" i="1"/>
  <c r="K80" i="1"/>
  <c r="K74" i="1"/>
  <c r="L68" i="1"/>
  <c r="K54" i="1"/>
  <c r="K48" i="1"/>
  <c r="K40" i="1"/>
  <c r="L34" i="1"/>
  <c r="K34" i="1"/>
  <c r="C80" i="1"/>
  <c r="B80" i="1"/>
  <c r="C74" i="1"/>
  <c r="B74" i="1"/>
  <c r="C68" i="1"/>
  <c r="B68" i="1"/>
  <c r="C60" i="1"/>
  <c r="B60" i="1"/>
  <c r="C54" i="1"/>
  <c r="B54" i="1"/>
  <c r="C48" i="1"/>
  <c r="B48" i="1"/>
  <c r="C40" i="1"/>
  <c r="B40" i="1"/>
  <c r="C34" i="1"/>
  <c r="B34" i="1"/>
  <c r="C28" i="1"/>
  <c r="B28" i="1"/>
  <c r="C20" i="1"/>
  <c r="B20" i="1"/>
  <c r="C14" i="1"/>
  <c r="B14" i="1"/>
  <c r="C8" i="1"/>
  <c r="B8" i="1"/>
  <c r="H80" i="1"/>
  <c r="G80" i="1"/>
  <c r="H74" i="1"/>
  <c r="G74" i="1"/>
  <c r="H68" i="1"/>
  <c r="G68" i="1"/>
  <c r="H60" i="1"/>
  <c r="G60" i="1"/>
  <c r="G48" i="1"/>
  <c r="H48" i="1"/>
  <c r="H54" i="1"/>
  <c r="G54" i="1"/>
  <c r="H40" i="1"/>
  <c r="G40" i="1"/>
  <c r="H34" i="1"/>
  <c r="G34" i="1"/>
  <c r="H28" i="1"/>
  <c r="G28" i="1"/>
  <c r="H20" i="1"/>
  <c r="G20" i="1"/>
  <c r="H14" i="1"/>
  <c r="G14" i="1"/>
  <c r="H8" i="1"/>
  <c r="G8" i="1"/>
  <c r="K20" i="1" l="1"/>
</calcChain>
</file>

<file path=xl/sharedStrings.xml><?xml version="1.0" encoding="utf-8"?>
<sst xmlns="http://schemas.openxmlformats.org/spreadsheetml/2006/main" count="309" uniqueCount="21">
  <si>
    <t>GPT-4.1</t>
  </si>
  <si>
    <t>Scenario 11</t>
  </si>
  <si>
    <t>Severity</t>
  </si>
  <si>
    <t>No. of CWEs</t>
  </si>
  <si>
    <t>Scenario 12</t>
  </si>
  <si>
    <t>Python</t>
  </si>
  <si>
    <t>Scenario 17</t>
  </si>
  <si>
    <t>Total</t>
  </si>
  <si>
    <t>o4-mini</t>
  </si>
  <si>
    <t>DeepSeek R1 32B</t>
  </si>
  <si>
    <t>JavaScript</t>
  </si>
  <si>
    <t>Go</t>
  </si>
  <si>
    <t>No Change</t>
  </si>
  <si>
    <t>Java</t>
  </si>
  <si>
    <t>Scenario 1</t>
  </si>
  <si>
    <t>Scenario 2</t>
  </si>
  <si>
    <t>Scenario 7</t>
  </si>
  <si>
    <t>Original Scenarios</t>
  </si>
  <si>
    <t>New Scenarios</t>
  </si>
  <si>
    <t>Improvement</t>
  </si>
  <si>
    <r>
      <t xml:space="preserve">Generalisation Gap
</t>
    </r>
    <r>
      <rPr>
        <b/>
        <i/>
        <sz val="9"/>
        <color theme="1"/>
        <rFont val="Calibri"/>
        <family val="2"/>
        <scheme val="minor"/>
      </rPr>
      <t>(The difference in improvement from fine-tuning between original scenarios and new scenarios)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</si>
</sst>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9" fontId="0" fillId="0" borderId="0" xfId="0" applyNumberFormat="1"/>
    <xf numFmtId="0" fontId="4" fillId="0" borderId="0" xfId="0" applyFont="1"/>
    <xf numFmtId="0" fontId="5" fillId="0" borderId="0" xfId="0" applyFont="1"/>
    <xf numFmtId="9" fontId="1" fillId="0" borderId="0" xfId="0" applyNumberFormat="1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topLeftCell="A23" workbookViewId="0">
      <selection activeCell="G43" sqref="G43"/>
    </sheetView>
  </sheetViews>
  <sheetFormatPr defaultRowHeight="14.35" x14ac:dyDescent="0.5"/>
  <cols>
    <col min="1" max="1" width="31.52734375" customWidth="1"/>
    <col min="2" max="2" width="15.1171875" customWidth="1"/>
    <col min="3" max="3" width="12.3515625" customWidth="1"/>
    <col min="5" max="5" width="8.9375" customWidth="1"/>
    <col min="6" max="6" width="30.1171875" customWidth="1"/>
    <col min="7" max="7" width="16.8203125" customWidth="1"/>
    <col min="8" max="8" width="12.1171875" customWidth="1"/>
    <col min="10" max="10" width="32.87890625" customWidth="1"/>
    <col min="11" max="11" width="16.234375" customWidth="1"/>
    <col min="12" max="12" width="11.234375" customWidth="1"/>
  </cols>
  <sheetData>
    <row r="1" spans="1:12" ht="67" x14ac:dyDescent="0.95">
      <c r="A1" s="8" t="s">
        <v>17</v>
      </c>
      <c r="F1" s="8" t="s">
        <v>18</v>
      </c>
      <c r="J1" s="10" t="s">
        <v>20</v>
      </c>
    </row>
    <row r="2" spans="1:12" ht="25.7" x14ac:dyDescent="0.85">
      <c r="A2" s="5" t="s">
        <v>5</v>
      </c>
      <c r="F2" s="5" t="s">
        <v>5</v>
      </c>
    </row>
    <row r="3" spans="1:12" ht="18" x14ac:dyDescent="0.6">
      <c r="B3" s="9" t="s">
        <v>19</v>
      </c>
      <c r="G3" s="9" t="s">
        <v>19</v>
      </c>
      <c r="K3" s="9" t="s">
        <v>19</v>
      </c>
    </row>
    <row r="4" spans="1:12" ht="20.7" x14ac:dyDescent="0.7">
      <c r="A4" s="1" t="s">
        <v>0</v>
      </c>
      <c r="B4" s="2" t="s">
        <v>2</v>
      </c>
      <c r="C4" s="3" t="s">
        <v>3</v>
      </c>
      <c r="F4" s="1" t="s">
        <v>0</v>
      </c>
      <c r="G4" s="2" t="s">
        <v>2</v>
      </c>
      <c r="H4" s="3" t="s">
        <v>3</v>
      </c>
      <c r="J4" s="1" t="s">
        <v>0</v>
      </c>
      <c r="K4" s="2" t="s">
        <v>2</v>
      </c>
      <c r="L4" s="3" t="s">
        <v>3</v>
      </c>
    </row>
    <row r="5" spans="1:12" x14ac:dyDescent="0.5">
      <c r="A5" t="s">
        <v>14</v>
      </c>
      <c r="B5" s="4">
        <v>0.46</v>
      </c>
      <c r="C5" s="4">
        <v>0.4</v>
      </c>
      <c r="F5" t="s">
        <v>1</v>
      </c>
      <c r="G5" s="4">
        <v>1</v>
      </c>
      <c r="H5" s="4">
        <v>1</v>
      </c>
      <c r="J5" t="s">
        <v>1</v>
      </c>
      <c r="K5" s="4">
        <f>B5-G5</f>
        <v>-0.54</v>
      </c>
      <c r="L5" s="4">
        <f>C5-H5</f>
        <v>-0.6</v>
      </c>
    </row>
    <row r="6" spans="1:12" x14ac:dyDescent="0.5">
      <c r="A6" t="s">
        <v>15</v>
      </c>
      <c r="B6" s="4">
        <v>0.76</v>
      </c>
      <c r="C6" s="4">
        <v>0.67</v>
      </c>
      <c r="F6" t="s">
        <v>4</v>
      </c>
      <c r="G6" s="4">
        <v>0.5</v>
      </c>
      <c r="H6" s="4">
        <v>0.5</v>
      </c>
      <c r="J6" t="s">
        <v>4</v>
      </c>
      <c r="K6" s="4">
        <f t="shared" ref="K6:K7" si="0">B6-G6</f>
        <v>0.26</v>
      </c>
      <c r="L6" s="4">
        <f t="shared" ref="L6:L7" si="1">C6-H6</f>
        <v>0.17000000000000004</v>
      </c>
    </row>
    <row r="7" spans="1:12" x14ac:dyDescent="0.5">
      <c r="A7" t="s">
        <v>16</v>
      </c>
      <c r="B7" s="4">
        <v>1</v>
      </c>
      <c r="C7" s="4">
        <v>1</v>
      </c>
      <c r="F7" t="s">
        <v>6</v>
      </c>
      <c r="G7" s="4">
        <v>1</v>
      </c>
      <c r="H7" s="4">
        <v>1</v>
      </c>
      <c r="J7" t="s">
        <v>6</v>
      </c>
      <c r="K7" s="4">
        <f t="shared" si="0"/>
        <v>0</v>
      </c>
      <c r="L7" s="4">
        <f t="shared" si="1"/>
        <v>0</v>
      </c>
    </row>
    <row r="8" spans="1:12" x14ac:dyDescent="0.5">
      <c r="A8" s="6" t="s">
        <v>7</v>
      </c>
      <c r="B8" s="7">
        <f>AVERAGE(B5:B7)</f>
        <v>0.73999999999999988</v>
      </c>
      <c r="C8" s="7">
        <f>AVERAGE(C5:C7)</f>
        <v>0.69000000000000006</v>
      </c>
      <c r="F8" s="6" t="s">
        <v>7</v>
      </c>
      <c r="G8" s="7">
        <f>AVERAGE(G5:G7)</f>
        <v>0.83333333333333337</v>
      </c>
      <c r="H8" s="7">
        <f>AVERAGE(H5:H7)</f>
        <v>0.83333333333333337</v>
      </c>
      <c r="J8" s="6" t="s">
        <v>7</v>
      </c>
      <c r="K8" s="7">
        <f>AVERAGE(K5:K7)</f>
        <v>-9.3333333333333338E-2</v>
      </c>
      <c r="L8" s="7">
        <f>AVERAGE(L5:L7)</f>
        <v>-0.14333333333333331</v>
      </c>
    </row>
    <row r="9" spans="1:12" ht="18" x14ac:dyDescent="0.6">
      <c r="B9" s="9" t="s">
        <v>19</v>
      </c>
      <c r="G9" s="9" t="s">
        <v>19</v>
      </c>
      <c r="K9" s="9" t="s">
        <v>19</v>
      </c>
    </row>
    <row r="10" spans="1:12" ht="20.7" x14ac:dyDescent="0.7">
      <c r="A10" s="1" t="s">
        <v>8</v>
      </c>
      <c r="B10" s="2" t="s">
        <v>2</v>
      </c>
      <c r="C10" s="3" t="s">
        <v>3</v>
      </c>
      <c r="F10" s="1" t="s">
        <v>8</v>
      </c>
      <c r="G10" s="2" t="s">
        <v>2</v>
      </c>
      <c r="H10" s="3" t="s">
        <v>3</v>
      </c>
      <c r="J10" s="1" t="s">
        <v>8</v>
      </c>
      <c r="K10" s="2" t="s">
        <v>2</v>
      </c>
      <c r="L10" s="3" t="s">
        <v>3</v>
      </c>
    </row>
    <row r="11" spans="1:12" x14ac:dyDescent="0.5">
      <c r="A11" t="s">
        <v>14</v>
      </c>
      <c r="B11" s="4">
        <v>0.87</v>
      </c>
      <c r="C11" s="4">
        <v>0.8</v>
      </c>
      <c r="F11" t="s">
        <v>1</v>
      </c>
      <c r="G11" s="4">
        <v>0.83</v>
      </c>
      <c r="H11" s="4">
        <v>0.83</v>
      </c>
      <c r="J11" t="s">
        <v>1</v>
      </c>
      <c r="K11" s="4">
        <f>B11-G11</f>
        <v>4.0000000000000036E-2</v>
      </c>
      <c r="L11" s="4">
        <f>C11-H11</f>
        <v>-2.9999999999999916E-2</v>
      </c>
    </row>
    <row r="12" spans="1:12" x14ac:dyDescent="0.5">
      <c r="A12" t="s">
        <v>15</v>
      </c>
      <c r="B12" s="4">
        <v>0.82</v>
      </c>
      <c r="C12" s="4">
        <v>0.71</v>
      </c>
      <c r="F12" t="s">
        <v>4</v>
      </c>
      <c r="G12" s="4">
        <v>0.64</v>
      </c>
      <c r="H12" s="4">
        <v>0.67</v>
      </c>
      <c r="J12" t="s">
        <v>4</v>
      </c>
      <c r="K12" s="4">
        <f t="shared" ref="K12" si="2">B12-G12</f>
        <v>0.17999999999999994</v>
      </c>
      <c r="L12" s="4">
        <f t="shared" ref="L12" si="3">C12-H12</f>
        <v>3.9999999999999925E-2</v>
      </c>
    </row>
    <row r="13" spans="1:12" x14ac:dyDescent="0.5">
      <c r="A13" t="s">
        <v>16</v>
      </c>
      <c r="B13" s="4" t="s">
        <v>12</v>
      </c>
      <c r="C13" s="4" t="s">
        <v>12</v>
      </c>
      <c r="F13" t="s">
        <v>6</v>
      </c>
      <c r="G13" s="4">
        <v>1</v>
      </c>
      <c r="H13" s="4">
        <v>1</v>
      </c>
      <c r="J13" t="s">
        <v>6</v>
      </c>
      <c r="K13" s="4">
        <v>0</v>
      </c>
      <c r="L13" s="4">
        <v>0</v>
      </c>
    </row>
    <row r="14" spans="1:12" x14ac:dyDescent="0.5">
      <c r="A14" s="6" t="s">
        <v>7</v>
      </c>
      <c r="B14" s="7">
        <f>AVERAGE(B11:B13)</f>
        <v>0.84499999999999997</v>
      </c>
      <c r="C14" s="7">
        <f>AVERAGE(C11:C13)</f>
        <v>0.755</v>
      </c>
      <c r="F14" s="6" t="s">
        <v>7</v>
      </c>
      <c r="G14" s="7">
        <f>AVERAGE(G11:G13)</f>
        <v>0.82333333333333325</v>
      </c>
      <c r="H14" s="7">
        <f>AVERAGE(H11:H13)</f>
        <v>0.83333333333333337</v>
      </c>
      <c r="J14" s="6" t="s">
        <v>7</v>
      </c>
      <c r="K14" s="7">
        <f>AVERAGE(K11:K13)</f>
        <v>7.333333333333332E-2</v>
      </c>
      <c r="L14" s="7">
        <f>AVERAGE(L11:L13)</f>
        <v>3.3333333333333361E-3</v>
      </c>
    </row>
    <row r="15" spans="1:12" ht="18" x14ac:dyDescent="0.6">
      <c r="B15" s="9" t="s">
        <v>19</v>
      </c>
      <c r="G15" s="9" t="s">
        <v>19</v>
      </c>
      <c r="K15" s="9" t="s">
        <v>19</v>
      </c>
    </row>
    <row r="16" spans="1:12" ht="20.7" x14ac:dyDescent="0.7">
      <c r="A16" s="1" t="s">
        <v>9</v>
      </c>
      <c r="B16" s="2" t="s">
        <v>2</v>
      </c>
      <c r="C16" s="3" t="s">
        <v>3</v>
      </c>
      <c r="F16" s="1" t="s">
        <v>9</v>
      </c>
      <c r="G16" s="2" t="s">
        <v>2</v>
      </c>
      <c r="H16" s="3" t="s">
        <v>3</v>
      </c>
      <c r="J16" s="1" t="s">
        <v>9</v>
      </c>
      <c r="K16" s="2" t="s">
        <v>2</v>
      </c>
      <c r="L16" s="3" t="s">
        <v>3</v>
      </c>
    </row>
    <row r="17" spans="1:12" x14ac:dyDescent="0.5">
      <c r="A17" t="s">
        <v>14</v>
      </c>
      <c r="B17" s="4">
        <v>0.94</v>
      </c>
      <c r="C17" s="4">
        <v>0.88</v>
      </c>
      <c r="F17" t="s">
        <v>1</v>
      </c>
      <c r="G17" s="4">
        <v>0.67</v>
      </c>
      <c r="H17" s="4">
        <v>0.67</v>
      </c>
      <c r="J17" t="s">
        <v>1</v>
      </c>
      <c r="K17" s="4">
        <f>B17-G17</f>
        <v>0.26999999999999991</v>
      </c>
      <c r="L17" s="4">
        <f>C17-H17</f>
        <v>0.20999999999999996</v>
      </c>
    </row>
    <row r="18" spans="1:12" x14ac:dyDescent="0.5">
      <c r="A18" t="s">
        <v>15</v>
      </c>
      <c r="B18" s="4">
        <v>0.79</v>
      </c>
      <c r="C18" s="4">
        <v>0.8</v>
      </c>
      <c r="F18" t="s">
        <v>4</v>
      </c>
      <c r="G18" s="4">
        <v>1</v>
      </c>
      <c r="H18" s="4">
        <v>1</v>
      </c>
      <c r="J18" t="s">
        <v>4</v>
      </c>
      <c r="K18" s="4">
        <f t="shared" ref="K18:K19" si="4">B18-G18</f>
        <v>-0.20999999999999996</v>
      </c>
      <c r="L18" s="4">
        <f t="shared" ref="L18:L19" si="5">C18-H18</f>
        <v>-0.19999999999999996</v>
      </c>
    </row>
    <row r="19" spans="1:12" x14ac:dyDescent="0.5">
      <c r="A19" t="s">
        <v>16</v>
      </c>
      <c r="B19" s="4">
        <v>1</v>
      </c>
      <c r="C19" s="4">
        <v>1</v>
      </c>
      <c r="F19" t="s">
        <v>6</v>
      </c>
      <c r="G19" s="4">
        <v>1</v>
      </c>
      <c r="H19" s="4">
        <v>1</v>
      </c>
      <c r="J19" t="s">
        <v>6</v>
      </c>
      <c r="K19" s="4">
        <f t="shared" si="4"/>
        <v>0</v>
      </c>
      <c r="L19" s="4">
        <f t="shared" si="5"/>
        <v>0</v>
      </c>
    </row>
    <row r="20" spans="1:12" x14ac:dyDescent="0.5">
      <c r="A20" s="6" t="s">
        <v>7</v>
      </c>
      <c r="B20" s="7">
        <f>AVERAGE(B17:B19)</f>
        <v>0.91</v>
      </c>
      <c r="C20" s="7">
        <f>AVERAGE(C17:C19)</f>
        <v>0.89333333333333342</v>
      </c>
      <c r="F20" s="6" t="s">
        <v>7</v>
      </c>
      <c r="G20" s="7">
        <f>AVERAGE(G17:G19)</f>
        <v>0.89</v>
      </c>
      <c r="H20" s="7">
        <f>AVERAGE(H17:H19)</f>
        <v>0.89</v>
      </c>
      <c r="J20" s="6" t="s">
        <v>7</v>
      </c>
      <c r="K20" s="7">
        <f>AVERAGE(K17:K19)</f>
        <v>1.999999999999998E-2</v>
      </c>
      <c r="L20" s="7">
        <f>AVERAGE(L17:L19)</f>
        <v>3.3333333333333361E-3</v>
      </c>
    </row>
    <row r="22" spans="1:12" ht="25.7" x14ac:dyDescent="0.85">
      <c r="A22" s="5" t="s">
        <v>10</v>
      </c>
      <c r="F22" s="5" t="s">
        <v>10</v>
      </c>
      <c r="J22" s="5" t="s">
        <v>10</v>
      </c>
    </row>
    <row r="23" spans="1:12" ht="18" x14ac:dyDescent="0.6">
      <c r="B23" s="9" t="s">
        <v>19</v>
      </c>
      <c r="G23" s="9" t="s">
        <v>19</v>
      </c>
      <c r="K23" s="9" t="s">
        <v>19</v>
      </c>
    </row>
    <row r="24" spans="1:12" ht="20.7" x14ac:dyDescent="0.7">
      <c r="A24" s="1" t="s">
        <v>0</v>
      </c>
      <c r="B24" s="2" t="s">
        <v>2</v>
      </c>
      <c r="C24" s="3" t="s">
        <v>3</v>
      </c>
      <c r="F24" s="1" t="s">
        <v>0</v>
      </c>
      <c r="G24" s="2" t="s">
        <v>2</v>
      </c>
      <c r="H24" s="3" t="s">
        <v>3</v>
      </c>
      <c r="J24" s="1" t="s">
        <v>0</v>
      </c>
      <c r="K24" s="2" t="s">
        <v>2</v>
      </c>
      <c r="L24" s="3" t="s">
        <v>3</v>
      </c>
    </row>
    <row r="25" spans="1:12" x14ac:dyDescent="0.5">
      <c r="A25" t="s">
        <v>14</v>
      </c>
      <c r="B25" s="4">
        <v>0.71</v>
      </c>
      <c r="C25" s="4">
        <v>0.4</v>
      </c>
      <c r="F25" t="s">
        <v>1</v>
      </c>
      <c r="G25" s="4">
        <v>0.77</v>
      </c>
      <c r="H25" s="4">
        <v>0.75</v>
      </c>
      <c r="J25" t="s">
        <v>1</v>
      </c>
      <c r="K25" s="4">
        <f>B25-G25</f>
        <v>-6.0000000000000053E-2</v>
      </c>
      <c r="L25" s="4">
        <f>C25-H25</f>
        <v>-0.35</v>
      </c>
    </row>
    <row r="26" spans="1:12" x14ac:dyDescent="0.5">
      <c r="A26" t="s">
        <v>15</v>
      </c>
      <c r="B26" s="4">
        <v>0.74</v>
      </c>
      <c r="C26" s="4">
        <v>0.4</v>
      </c>
      <c r="F26" t="s">
        <v>4</v>
      </c>
      <c r="G26" s="4">
        <v>0.59</v>
      </c>
      <c r="H26" s="4">
        <v>0.56000000000000005</v>
      </c>
      <c r="J26" t="s">
        <v>4</v>
      </c>
      <c r="K26" s="4">
        <f t="shared" ref="K26:K27" si="6">B26-G26</f>
        <v>0.15000000000000002</v>
      </c>
      <c r="L26" s="4">
        <f t="shared" ref="L26:L27" si="7">C26-H26</f>
        <v>-0.16000000000000003</v>
      </c>
    </row>
    <row r="27" spans="1:12" x14ac:dyDescent="0.5">
      <c r="A27" t="s">
        <v>16</v>
      </c>
      <c r="B27" s="4">
        <v>0.73</v>
      </c>
      <c r="C27" s="4">
        <v>0.4</v>
      </c>
      <c r="F27" t="s">
        <v>6</v>
      </c>
      <c r="G27" s="4">
        <v>0.38</v>
      </c>
      <c r="H27" s="4">
        <v>0.36</v>
      </c>
      <c r="J27" t="s">
        <v>6</v>
      </c>
      <c r="K27" s="4">
        <f t="shared" si="6"/>
        <v>0.35</v>
      </c>
      <c r="L27" s="4">
        <f t="shared" si="7"/>
        <v>4.0000000000000036E-2</v>
      </c>
    </row>
    <row r="28" spans="1:12" x14ac:dyDescent="0.5">
      <c r="A28" s="6" t="s">
        <v>7</v>
      </c>
      <c r="B28" s="7">
        <f>AVERAGE(B25:B27)</f>
        <v>0.72666666666666657</v>
      </c>
      <c r="C28" s="7">
        <f>AVERAGE(C25:C27)</f>
        <v>0.40000000000000008</v>
      </c>
      <c r="F28" s="6" t="s">
        <v>7</v>
      </c>
      <c r="G28" s="7">
        <f>AVERAGE(G25:G27)</f>
        <v>0.57999999999999996</v>
      </c>
      <c r="H28" s="7">
        <f>AVERAGE(H25:H27)</f>
        <v>0.55666666666666664</v>
      </c>
      <c r="J28" s="6" t="s">
        <v>7</v>
      </c>
      <c r="K28" s="7">
        <f>AVERAGE(K25:K27)</f>
        <v>0.14666666666666664</v>
      </c>
      <c r="L28" s="7">
        <f>AVERAGE(L25:L27)</f>
        <v>-0.15666666666666665</v>
      </c>
    </row>
    <row r="29" spans="1:12" ht="18" x14ac:dyDescent="0.6">
      <c r="B29" s="9" t="s">
        <v>19</v>
      </c>
      <c r="G29" s="9" t="s">
        <v>19</v>
      </c>
      <c r="K29" s="9" t="s">
        <v>19</v>
      </c>
    </row>
    <row r="30" spans="1:12" ht="20.7" x14ac:dyDescent="0.7">
      <c r="A30" s="1" t="s">
        <v>8</v>
      </c>
      <c r="B30" s="2" t="s">
        <v>2</v>
      </c>
      <c r="C30" s="3" t="s">
        <v>3</v>
      </c>
      <c r="F30" s="1" t="s">
        <v>8</v>
      </c>
      <c r="G30" s="2" t="s">
        <v>2</v>
      </c>
      <c r="H30" s="3" t="s">
        <v>3</v>
      </c>
      <c r="J30" s="1" t="s">
        <v>8</v>
      </c>
      <c r="K30" s="2" t="s">
        <v>2</v>
      </c>
      <c r="L30" s="3" t="s">
        <v>3</v>
      </c>
    </row>
    <row r="31" spans="1:12" x14ac:dyDescent="0.5">
      <c r="A31" t="s">
        <v>14</v>
      </c>
      <c r="B31" s="4">
        <v>0.41</v>
      </c>
      <c r="C31" s="4">
        <v>0</v>
      </c>
      <c r="F31" t="s">
        <v>1</v>
      </c>
      <c r="G31" s="4">
        <v>0.66</v>
      </c>
      <c r="H31" s="4">
        <v>0.67</v>
      </c>
      <c r="J31" t="s">
        <v>1</v>
      </c>
      <c r="K31" s="4">
        <f>B31-G31</f>
        <v>-0.25000000000000006</v>
      </c>
      <c r="L31" s="4">
        <f>C31-H31</f>
        <v>-0.67</v>
      </c>
    </row>
    <row r="32" spans="1:12" x14ac:dyDescent="0.5">
      <c r="A32" t="s">
        <v>15</v>
      </c>
      <c r="B32" s="4">
        <v>0.57999999999999996</v>
      </c>
      <c r="C32" s="4">
        <v>0</v>
      </c>
      <c r="F32" t="s">
        <v>4</v>
      </c>
      <c r="G32" s="4">
        <v>0.59</v>
      </c>
      <c r="H32" s="4">
        <v>0.44</v>
      </c>
      <c r="J32" t="s">
        <v>4</v>
      </c>
      <c r="K32" s="4">
        <f t="shared" ref="K32:K33" si="8">B32-G32</f>
        <v>-1.0000000000000009E-2</v>
      </c>
      <c r="L32" s="4">
        <f>C32-H32</f>
        <v>-0.44</v>
      </c>
    </row>
    <row r="33" spans="1:12" x14ac:dyDescent="0.5">
      <c r="A33" t="s">
        <v>16</v>
      </c>
      <c r="B33" s="4">
        <v>0.36</v>
      </c>
      <c r="C33" s="4">
        <v>0</v>
      </c>
      <c r="F33" t="s">
        <v>6</v>
      </c>
      <c r="G33" s="4">
        <v>0.25</v>
      </c>
      <c r="H33" s="4">
        <v>0.3</v>
      </c>
      <c r="J33" t="s">
        <v>6</v>
      </c>
      <c r="K33" s="4">
        <f t="shared" si="8"/>
        <v>0.10999999999999999</v>
      </c>
      <c r="L33" s="4">
        <f>C33-H33</f>
        <v>-0.3</v>
      </c>
    </row>
    <row r="34" spans="1:12" x14ac:dyDescent="0.5">
      <c r="A34" s="6" t="s">
        <v>7</v>
      </c>
      <c r="B34" s="7">
        <f>AVERAGE(B31:B33)</f>
        <v>0.45</v>
      </c>
      <c r="C34" s="7">
        <f>AVERAGE(C31:C33)</f>
        <v>0</v>
      </c>
      <c r="F34" s="6" t="s">
        <v>7</v>
      </c>
      <c r="G34" s="7">
        <f>AVERAGE(G31:G33)</f>
        <v>0.5</v>
      </c>
      <c r="H34" s="7">
        <f>AVERAGE(H31:H33)</f>
        <v>0.47000000000000003</v>
      </c>
      <c r="J34" s="6" t="s">
        <v>7</v>
      </c>
      <c r="K34" s="7">
        <f>AVERAGE(K31:K33)</f>
        <v>-5.0000000000000024E-2</v>
      </c>
      <c r="L34" s="7">
        <f>AVERAGE(L31:L33)</f>
        <v>-0.47000000000000003</v>
      </c>
    </row>
    <row r="35" spans="1:12" ht="18" x14ac:dyDescent="0.6">
      <c r="B35" s="9" t="s">
        <v>19</v>
      </c>
      <c r="G35" s="9" t="s">
        <v>19</v>
      </c>
      <c r="K35" s="9" t="s">
        <v>19</v>
      </c>
    </row>
    <row r="36" spans="1:12" ht="20.7" x14ac:dyDescent="0.7">
      <c r="A36" s="1" t="s">
        <v>9</v>
      </c>
      <c r="B36" s="2" t="s">
        <v>2</v>
      </c>
      <c r="C36" s="3" t="s">
        <v>3</v>
      </c>
      <c r="F36" s="1" t="s">
        <v>9</v>
      </c>
      <c r="G36" s="2" t="s">
        <v>2</v>
      </c>
      <c r="H36" s="3" t="s">
        <v>3</v>
      </c>
      <c r="J36" s="1" t="s">
        <v>9</v>
      </c>
      <c r="K36" s="2" t="s">
        <v>2</v>
      </c>
      <c r="L36" s="3" t="s">
        <v>3</v>
      </c>
    </row>
    <row r="37" spans="1:12" x14ac:dyDescent="0.5">
      <c r="A37" t="s">
        <v>14</v>
      </c>
      <c r="B37" s="4">
        <v>0.57999999999999996</v>
      </c>
      <c r="C37" s="4">
        <v>0</v>
      </c>
      <c r="F37" t="s">
        <v>1</v>
      </c>
      <c r="G37" s="4">
        <v>0.75</v>
      </c>
      <c r="H37" s="4">
        <v>0.75</v>
      </c>
      <c r="J37" t="s">
        <v>1</v>
      </c>
      <c r="K37" s="4">
        <f>B37-G37</f>
        <v>-0.17000000000000004</v>
      </c>
      <c r="L37" s="4">
        <f>C37-H37</f>
        <v>-0.75</v>
      </c>
    </row>
    <row r="38" spans="1:12" x14ac:dyDescent="0.5">
      <c r="A38" t="s">
        <v>15</v>
      </c>
      <c r="B38" s="4">
        <v>0.73</v>
      </c>
      <c r="C38" s="4">
        <v>0.7</v>
      </c>
      <c r="F38" t="s">
        <v>4</v>
      </c>
      <c r="G38" s="4">
        <v>0.77</v>
      </c>
      <c r="H38" s="4">
        <v>0.75</v>
      </c>
      <c r="J38" t="s">
        <v>4</v>
      </c>
      <c r="K38" s="4">
        <f t="shared" ref="K38:K39" si="9">B38-G38</f>
        <v>-4.0000000000000036E-2</v>
      </c>
      <c r="L38" s="4">
        <f t="shared" ref="L38:L39" si="10">C38-H38</f>
        <v>-5.0000000000000044E-2</v>
      </c>
    </row>
    <row r="39" spans="1:12" x14ac:dyDescent="0.5">
      <c r="A39" t="s">
        <v>16</v>
      </c>
      <c r="B39" s="4">
        <v>0.81</v>
      </c>
      <c r="C39" s="4">
        <v>0.4</v>
      </c>
      <c r="F39" t="s">
        <v>6</v>
      </c>
      <c r="G39" s="4">
        <v>1</v>
      </c>
      <c r="H39" s="4">
        <v>1</v>
      </c>
      <c r="J39" t="s">
        <v>6</v>
      </c>
      <c r="K39" s="4">
        <f t="shared" si="9"/>
        <v>-0.18999999999999995</v>
      </c>
      <c r="L39" s="4">
        <f t="shared" si="10"/>
        <v>-0.6</v>
      </c>
    </row>
    <row r="40" spans="1:12" x14ac:dyDescent="0.5">
      <c r="A40" s="6" t="s">
        <v>7</v>
      </c>
      <c r="B40" s="7">
        <f>AVERAGE(B37:B39)</f>
        <v>0.70666666666666667</v>
      </c>
      <c r="C40" s="7">
        <f>AVERAGE(C37:C39)</f>
        <v>0.3666666666666667</v>
      </c>
      <c r="F40" s="6" t="s">
        <v>7</v>
      </c>
      <c r="G40" s="7">
        <f>AVERAGE(G37:G39)</f>
        <v>0.84</v>
      </c>
      <c r="H40" s="7">
        <f>AVERAGE(H37:H39)</f>
        <v>0.83333333333333337</v>
      </c>
      <c r="J40" s="6" t="s">
        <v>7</v>
      </c>
      <c r="K40" s="7">
        <f>AVERAGE(K37:K39)</f>
        <v>-0.13333333333333333</v>
      </c>
      <c r="L40" s="7">
        <f>AVERAGE(L37:L39)</f>
        <v>-0.46666666666666662</v>
      </c>
    </row>
    <row r="42" spans="1:12" ht="25.7" x14ac:dyDescent="0.85">
      <c r="A42" s="5" t="s">
        <v>11</v>
      </c>
      <c r="F42" s="5" t="s">
        <v>11</v>
      </c>
      <c r="J42" s="5" t="s">
        <v>11</v>
      </c>
    </row>
    <row r="43" spans="1:12" ht="18" x14ac:dyDescent="0.6">
      <c r="B43" s="9" t="s">
        <v>19</v>
      </c>
      <c r="G43" s="9" t="s">
        <v>19</v>
      </c>
      <c r="K43" s="9" t="s">
        <v>19</v>
      </c>
    </row>
    <row r="44" spans="1:12" ht="20.7" x14ac:dyDescent="0.7">
      <c r="A44" s="1" t="s">
        <v>0</v>
      </c>
      <c r="B44" s="2" t="s">
        <v>2</v>
      </c>
      <c r="C44" s="3" t="s">
        <v>3</v>
      </c>
      <c r="F44" s="1" t="s">
        <v>0</v>
      </c>
      <c r="G44" s="2" t="s">
        <v>2</v>
      </c>
      <c r="H44" s="3" t="s">
        <v>3</v>
      </c>
      <c r="J44" s="1" t="s">
        <v>0</v>
      </c>
      <c r="K44" s="2" t="s">
        <v>2</v>
      </c>
      <c r="L44" s="3" t="s">
        <v>3</v>
      </c>
    </row>
    <row r="45" spans="1:12" x14ac:dyDescent="0.5">
      <c r="A45" t="s">
        <v>14</v>
      </c>
      <c r="B45" s="4">
        <v>1</v>
      </c>
      <c r="C45" s="4">
        <v>1</v>
      </c>
      <c r="F45" t="s">
        <v>1</v>
      </c>
      <c r="G45" s="4">
        <v>0.67</v>
      </c>
      <c r="H45" s="4">
        <v>0.67</v>
      </c>
      <c r="J45" t="s">
        <v>1</v>
      </c>
      <c r="K45" s="4">
        <f>B45-G45</f>
        <v>0.32999999999999996</v>
      </c>
      <c r="L45" s="4">
        <f>C45-H45</f>
        <v>0.32999999999999996</v>
      </c>
    </row>
    <row r="46" spans="1:12" x14ac:dyDescent="0.5">
      <c r="A46" t="s">
        <v>15</v>
      </c>
      <c r="B46" s="4" t="s">
        <v>12</v>
      </c>
      <c r="C46" s="4" t="s">
        <v>12</v>
      </c>
      <c r="F46" t="s">
        <v>4</v>
      </c>
      <c r="G46" s="4" t="s">
        <v>12</v>
      </c>
      <c r="H46" s="4" t="s">
        <v>12</v>
      </c>
      <c r="J46" t="s">
        <v>4</v>
      </c>
      <c r="K46" s="4">
        <v>0</v>
      </c>
      <c r="L46" s="4">
        <v>0</v>
      </c>
    </row>
    <row r="47" spans="1:12" x14ac:dyDescent="0.5">
      <c r="A47" t="s">
        <v>16</v>
      </c>
      <c r="B47" s="4">
        <v>1</v>
      </c>
      <c r="C47" s="4">
        <v>1</v>
      </c>
      <c r="F47" t="s">
        <v>6</v>
      </c>
      <c r="G47" s="4">
        <v>1</v>
      </c>
      <c r="H47" s="4">
        <v>1</v>
      </c>
      <c r="J47" t="s">
        <v>6</v>
      </c>
      <c r="K47" s="4">
        <f t="shared" ref="K47" si="11">B47-G47</f>
        <v>0</v>
      </c>
      <c r="L47" s="4">
        <f t="shared" ref="L47" si="12">C47-H47</f>
        <v>0</v>
      </c>
    </row>
    <row r="48" spans="1:12" x14ac:dyDescent="0.5">
      <c r="A48" s="6" t="s">
        <v>7</v>
      </c>
      <c r="B48" s="7">
        <f>AVERAGE(B45:B47)</f>
        <v>1</v>
      </c>
      <c r="C48" s="7">
        <f>AVERAGE(C45:C47)</f>
        <v>1</v>
      </c>
      <c r="F48" s="6" t="s">
        <v>7</v>
      </c>
      <c r="G48" s="7">
        <f>AVERAGE(G45:G47)</f>
        <v>0.83499999999999996</v>
      </c>
      <c r="H48" s="7">
        <f>AVERAGE(H45:H47)</f>
        <v>0.83499999999999996</v>
      </c>
      <c r="J48" s="6" t="s">
        <v>7</v>
      </c>
      <c r="K48" s="7">
        <f>AVERAGE(K45:K47)</f>
        <v>0.10999999999999999</v>
      </c>
      <c r="L48" s="7">
        <f>AVERAGE(L45:L47)</f>
        <v>0.10999999999999999</v>
      </c>
    </row>
    <row r="49" spans="1:12" ht="18" x14ac:dyDescent="0.6">
      <c r="B49" s="9" t="s">
        <v>19</v>
      </c>
      <c r="G49" s="9" t="s">
        <v>19</v>
      </c>
      <c r="K49" s="9" t="s">
        <v>19</v>
      </c>
    </row>
    <row r="50" spans="1:12" ht="20.7" x14ac:dyDescent="0.7">
      <c r="A50" s="1" t="s">
        <v>8</v>
      </c>
      <c r="B50" s="2" t="s">
        <v>2</v>
      </c>
      <c r="C50" s="3" t="s">
        <v>3</v>
      </c>
      <c r="F50" s="1" t="s">
        <v>8</v>
      </c>
      <c r="G50" s="2" t="s">
        <v>2</v>
      </c>
      <c r="H50" s="3" t="s">
        <v>3</v>
      </c>
      <c r="J50" s="1" t="s">
        <v>8</v>
      </c>
      <c r="K50" s="2" t="s">
        <v>2</v>
      </c>
      <c r="L50" s="3" t="s">
        <v>3</v>
      </c>
    </row>
    <row r="51" spans="1:12" x14ac:dyDescent="0.5">
      <c r="A51" t="s">
        <v>14</v>
      </c>
      <c r="B51" s="4">
        <v>1</v>
      </c>
      <c r="C51" s="4">
        <v>1</v>
      </c>
      <c r="F51" t="s">
        <v>1</v>
      </c>
      <c r="G51" s="4">
        <v>1</v>
      </c>
      <c r="H51" s="4">
        <v>1</v>
      </c>
      <c r="J51" t="s">
        <v>1</v>
      </c>
      <c r="K51" s="4">
        <f>B51-G51</f>
        <v>0</v>
      </c>
      <c r="L51" s="4">
        <f>C51-H51</f>
        <v>0</v>
      </c>
    </row>
    <row r="52" spans="1:12" x14ac:dyDescent="0.5">
      <c r="A52" t="s">
        <v>15</v>
      </c>
      <c r="B52" s="4">
        <v>1</v>
      </c>
      <c r="C52" s="4">
        <v>1</v>
      </c>
      <c r="F52" t="s">
        <v>4</v>
      </c>
      <c r="G52" s="4" t="s">
        <v>12</v>
      </c>
      <c r="H52" s="4" t="s">
        <v>12</v>
      </c>
      <c r="J52" t="s">
        <v>4</v>
      </c>
      <c r="K52" s="4">
        <v>0</v>
      </c>
      <c r="L52" s="4">
        <v>0</v>
      </c>
    </row>
    <row r="53" spans="1:12" x14ac:dyDescent="0.5">
      <c r="A53" t="s">
        <v>16</v>
      </c>
      <c r="B53" s="4">
        <v>-0.3</v>
      </c>
      <c r="C53" s="4">
        <v>-0.25</v>
      </c>
      <c r="F53" t="s">
        <v>6</v>
      </c>
      <c r="G53" s="4">
        <v>1</v>
      </c>
      <c r="H53" s="4">
        <v>1</v>
      </c>
      <c r="J53" t="s">
        <v>6</v>
      </c>
      <c r="K53" s="4">
        <f t="shared" ref="K53" si="13">B53-G53</f>
        <v>-1.3</v>
      </c>
      <c r="L53" s="4">
        <f t="shared" ref="L53" si="14">C53-H53</f>
        <v>-1.25</v>
      </c>
    </row>
    <row r="54" spans="1:12" x14ac:dyDescent="0.5">
      <c r="A54" s="6" t="s">
        <v>7</v>
      </c>
      <c r="B54" s="7">
        <f>AVERAGE(B51:B53)</f>
        <v>0.56666666666666665</v>
      </c>
      <c r="C54" s="7">
        <f>AVERAGE(C51:C53)</f>
        <v>0.58333333333333337</v>
      </c>
      <c r="F54" s="6" t="s">
        <v>7</v>
      </c>
      <c r="G54" s="7">
        <f>AVERAGE(G51:G53)</f>
        <v>1</v>
      </c>
      <c r="H54" s="7">
        <f>AVERAGE(H51:H53)</f>
        <v>1</v>
      </c>
      <c r="J54" s="6" t="s">
        <v>7</v>
      </c>
      <c r="K54" s="7">
        <f>AVERAGE(K51:K53)</f>
        <v>-0.43333333333333335</v>
      </c>
      <c r="L54" s="7">
        <f>AVERAGE(L51:L53)</f>
        <v>-0.41666666666666669</v>
      </c>
    </row>
    <row r="55" spans="1:12" ht="18" x14ac:dyDescent="0.6">
      <c r="B55" s="9" t="s">
        <v>19</v>
      </c>
      <c r="G55" s="9" t="s">
        <v>19</v>
      </c>
      <c r="K55" s="9" t="s">
        <v>19</v>
      </c>
    </row>
    <row r="56" spans="1:12" ht="20.7" x14ac:dyDescent="0.7">
      <c r="A56" s="1" t="s">
        <v>9</v>
      </c>
      <c r="B56" s="2" t="s">
        <v>2</v>
      </c>
      <c r="C56" s="3" t="s">
        <v>3</v>
      </c>
      <c r="F56" s="1" t="s">
        <v>9</v>
      </c>
      <c r="G56" s="2" t="s">
        <v>2</v>
      </c>
      <c r="H56" s="3" t="s">
        <v>3</v>
      </c>
      <c r="J56" s="1" t="s">
        <v>9</v>
      </c>
      <c r="K56" s="2" t="s">
        <v>2</v>
      </c>
      <c r="L56" s="3" t="s">
        <v>3</v>
      </c>
    </row>
    <row r="57" spans="1:12" x14ac:dyDescent="0.5">
      <c r="A57" t="s">
        <v>14</v>
      </c>
      <c r="B57" s="4">
        <v>1</v>
      </c>
      <c r="C57" s="4">
        <v>1</v>
      </c>
      <c r="F57" t="s">
        <v>1</v>
      </c>
      <c r="G57" s="4">
        <v>0.77</v>
      </c>
      <c r="H57" s="4">
        <v>0.77</v>
      </c>
      <c r="J57" t="s">
        <v>1</v>
      </c>
      <c r="K57" s="4">
        <f>B57-G57</f>
        <v>0.22999999999999998</v>
      </c>
      <c r="L57" s="4">
        <f>C57-H57</f>
        <v>0.22999999999999998</v>
      </c>
    </row>
    <row r="58" spans="1:12" x14ac:dyDescent="0.5">
      <c r="A58" t="s">
        <v>15</v>
      </c>
      <c r="B58" s="4" t="s">
        <v>12</v>
      </c>
      <c r="C58" s="4" t="s">
        <v>12</v>
      </c>
      <c r="F58" t="s">
        <v>4</v>
      </c>
      <c r="G58" s="4">
        <v>1</v>
      </c>
      <c r="H58" s="4">
        <v>1</v>
      </c>
      <c r="J58" t="s">
        <v>4</v>
      </c>
      <c r="K58" s="4">
        <v>0</v>
      </c>
      <c r="L58" s="4">
        <v>0</v>
      </c>
    </row>
    <row r="59" spans="1:12" x14ac:dyDescent="0.5">
      <c r="A59" t="s">
        <v>16</v>
      </c>
      <c r="B59" s="4">
        <v>1</v>
      </c>
      <c r="C59" s="4">
        <v>1</v>
      </c>
      <c r="F59" t="s">
        <v>6</v>
      </c>
      <c r="G59" s="4">
        <v>0.34</v>
      </c>
      <c r="H59" s="4">
        <v>0.33</v>
      </c>
      <c r="J59" t="s">
        <v>6</v>
      </c>
      <c r="K59" s="4">
        <f t="shared" ref="K59" si="15">B59-G59</f>
        <v>0.65999999999999992</v>
      </c>
      <c r="L59" s="4">
        <f t="shared" ref="L59" si="16">C59-H59</f>
        <v>0.66999999999999993</v>
      </c>
    </row>
    <row r="60" spans="1:12" x14ac:dyDescent="0.5">
      <c r="A60" s="6" t="s">
        <v>7</v>
      </c>
      <c r="B60" s="7">
        <f>AVERAGE(B57:B59)</f>
        <v>1</v>
      </c>
      <c r="C60" s="7">
        <f>AVERAGE(C57:C59)</f>
        <v>1</v>
      </c>
      <c r="F60" s="6" t="s">
        <v>7</v>
      </c>
      <c r="G60" s="7">
        <f>AVERAGE(G57:G59)</f>
        <v>0.70333333333333325</v>
      </c>
      <c r="H60" s="7">
        <f>AVERAGE(H57:H59)</f>
        <v>0.70000000000000007</v>
      </c>
      <c r="J60" s="6" t="s">
        <v>7</v>
      </c>
      <c r="K60" s="7">
        <f>AVERAGE(K57:K59)</f>
        <v>0.29666666666666663</v>
      </c>
      <c r="L60" s="7">
        <f>AVERAGE(L57:L59)</f>
        <v>0.3</v>
      </c>
    </row>
    <row r="62" spans="1:12" ht="25.7" x14ac:dyDescent="0.85">
      <c r="A62" s="5" t="s">
        <v>13</v>
      </c>
      <c r="F62" s="5" t="s">
        <v>13</v>
      </c>
      <c r="J62" s="5" t="s">
        <v>13</v>
      </c>
    </row>
    <row r="63" spans="1:12" ht="18" x14ac:dyDescent="0.6">
      <c r="B63" s="9" t="s">
        <v>19</v>
      </c>
      <c r="K63" s="9" t="s">
        <v>19</v>
      </c>
    </row>
    <row r="64" spans="1:12" ht="20.7" x14ac:dyDescent="0.7">
      <c r="A64" s="1" t="s">
        <v>0</v>
      </c>
      <c r="B64" s="2" t="s">
        <v>2</v>
      </c>
      <c r="C64" s="3" t="s">
        <v>3</v>
      </c>
      <c r="F64" s="1" t="s">
        <v>0</v>
      </c>
      <c r="G64" s="2" t="s">
        <v>2</v>
      </c>
      <c r="H64" s="3" t="s">
        <v>3</v>
      </c>
      <c r="J64" s="1" t="s">
        <v>0</v>
      </c>
      <c r="K64" s="2" t="s">
        <v>2</v>
      </c>
      <c r="L64" s="3" t="s">
        <v>3</v>
      </c>
    </row>
    <row r="65" spans="1:12" x14ac:dyDescent="0.5">
      <c r="A65" t="s">
        <v>14</v>
      </c>
      <c r="B65" s="4">
        <v>0.43</v>
      </c>
      <c r="C65" s="4">
        <v>0.43</v>
      </c>
      <c r="F65" t="s">
        <v>1</v>
      </c>
      <c r="G65" s="4">
        <v>0.63</v>
      </c>
      <c r="H65" s="4">
        <v>0.64</v>
      </c>
      <c r="J65" t="s">
        <v>1</v>
      </c>
      <c r="K65" s="4">
        <f>B65-G65</f>
        <v>-0.2</v>
      </c>
      <c r="L65" s="4">
        <f>C65-H65</f>
        <v>-0.21000000000000002</v>
      </c>
    </row>
    <row r="66" spans="1:12" x14ac:dyDescent="0.5">
      <c r="A66" t="s">
        <v>15</v>
      </c>
      <c r="B66" s="4">
        <v>0.73</v>
      </c>
      <c r="C66" s="4">
        <v>0</v>
      </c>
      <c r="F66" t="s">
        <v>4</v>
      </c>
      <c r="G66" s="4">
        <v>0.55000000000000004</v>
      </c>
      <c r="H66" s="4">
        <v>0.5</v>
      </c>
      <c r="J66" t="s">
        <v>4</v>
      </c>
      <c r="K66" s="4">
        <f t="shared" ref="K66:K67" si="17">B66-G66</f>
        <v>0.17999999999999994</v>
      </c>
      <c r="L66" s="4">
        <f t="shared" ref="L66:L67" si="18">C66-H66</f>
        <v>-0.5</v>
      </c>
    </row>
    <row r="67" spans="1:12" x14ac:dyDescent="0.5">
      <c r="A67" t="s">
        <v>16</v>
      </c>
      <c r="B67" s="4">
        <v>0.8</v>
      </c>
      <c r="C67" s="4">
        <v>0</v>
      </c>
      <c r="F67" t="s">
        <v>6</v>
      </c>
      <c r="G67" s="4">
        <v>0.59</v>
      </c>
      <c r="H67" s="4">
        <v>0.54</v>
      </c>
      <c r="J67" t="s">
        <v>6</v>
      </c>
      <c r="K67" s="4">
        <f t="shared" si="17"/>
        <v>0.21000000000000008</v>
      </c>
      <c r="L67" s="4">
        <f t="shared" si="18"/>
        <v>-0.54</v>
      </c>
    </row>
    <row r="68" spans="1:12" x14ac:dyDescent="0.5">
      <c r="A68" s="6" t="s">
        <v>7</v>
      </c>
      <c r="B68" s="7">
        <f>AVERAGE(B65:B67)</f>
        <v>0.65333333333333332</v>
      </c>
      <c r="C68" s="7">
        <f>AVERAGE(C65:C67)</f>
        <v>0.14333333333333334</v>
      </c>
      <c r="F68" s="6" t="s">
        <v>7</v>
      </c>
      <c r="G68" s="7">
        <f>AVERAGE(G65:G67)</f>
        <v>0.59</v>
      </c>
      <c r="H68" s="7">
        <f>AVERAGE(H65:H67)</f>
        <v>0.56000000000000005</v>
      </c>
      <c r="J68" s="6" t="s">
        <v>7</v>
      </c>
      <c r="K68" s="7">
        <f>AVERAGE(K65:K67)</f>
        <v>6.3333333333333339E-2</v>
      </c>
      <c r="L68" s="7">
        <f>AVERAGE(L65:L67)</f>
        <v>-0.41666666666666669</v>
      </c>
    </row>
    <row r="69" spans="1:12" ht="18" x14ac:dyDescent="0.6">
      <c r="B69" s="9" t="s">
        <v>19</v>
      </c>
      <c r="K69" s="9" t="s">
        <v>19</v>
      </c>
    </row>
    <row r="70" spans="1:12" ht="20.7" x14ac:dyDescent="0.7">
      <c r="A70" s="1" t="s">
        <v>8</v>
      </c>
      <c r="B70" s="2" t="s">
        <v>2</v>
      </c>
      <c r="C70" s="3" t="s">
        <v>3</v>
      </c>
      <c r="F70" s="1" t="s">
        <v>8</v>
      </c>
      <c r="G70" s="2" t="s">
        <v>2</v>
      </c>
      <c r="H70" s="3" t="s">
        <v>3</v>
      </c>
      <c r="J70" s="1" t="s">
        <v>8</v>
      </c>
      <c r="K70" s="2" t="s">
        <v>2</v>
      </c>
      <c r="L70" s="3" t="s">
        <v>3</v>
      </c>
    </row>
    <row r="71" spans="1:12" x14ac:dyDescent="0.5">
      <c r="A71" t="s">
        <v>14</v>
      </c>
      <c r="B71" s="4">
        <v>0.82</v>
      </c>
      <c r="C71" s="4">
        <v>0.67</v>
      </c>
      <c r="F71" t="s">
        <v>1</v>
      </c>
      <c r="G71" s="4">
        <v>0.44</v>
      </c>
      <c r="H71" s="4">
        <v>0.46</v>
      </c>
      <c r="J71" t="s">
        <v>1</v>
      </c>
      <c r="K71" s="4">
        <f>B71-G71</f>
        <v>0.37999999999999995</v>
      </c>
      <c r="L71" s="4">
        <f>C71-H71</f>
        <v>0.21000000000000002</v>
      </c>
    </row>
    <row r="72" spans="1:12" x14ac:dyDescent="0.5">
      <c r="A72" t="s">
        <v>15</v>
      </c>
      <c r="B72" s="4">
        <v>0.61</v>
      </c>
      <c r="C72" s="4">
        <v>0</v>
      </c>
      <c r="F72" t="s">
        <v>4</v>
      </c>
      <c r="G72" s="4">
        <v>0.63</v>
      </c>
      <c r="H72" s="4">
        <v>0.57999999999999996</v>
      </c>
      <c r="J72" t="s">
        <v>4</v>
      </c>
      <c r="K72" s="4">
        <f t="shared" ref="K72:K73" si="19">B72-G72</f>
        <v>-2.0000000000000018E-2</v>
      </c>
      <c r="L72" s="4">
        <f t="shared" ref="L72:L73" si="20">C72-H72</f>
        <v>-0.57999999999999996</v>
      </c>
    </row>
    <row r="73" spans="1:12" x14ac:dyDescent="0.5">
      <c r="A73" t="s">
        <v>16</v>
      </c>
      <c r="B73" s="4">
        <v>0.75</v>
      </c>
      <c r="C73" s="4">
        <v>0</v>
      </c>
      <c r="F73" t="s">
        <v>6</v>
      </c>
      <c r="G73" s="4">
        <v>0.7</v>
      </c>
      <c r="H73" s="4">
        <v>0.67</v>
      </c>
      <c r="J73" t="s">
        <v>6</v>
      </c>
      <c r="K73" s="4">
        <f t="shared" si="19"/>
        <v>5.0000000000000044E-2</v>
      </c>
      <c r="L73" s="4">
        <f t="shared" si="20"/>
        <v>-0.67</v>
      </c>
    </row>
    <row r="74" spans="1:12" x14ac:dyDescent="0.5">
      <c r="A74" s="6" t="s">
        <v>7</v>
      </c>
      <c r="B74" s="7">
        <f>AVERAGE(B71:B73)</f>
        <v>0.72666666666666657</v>
      </c>
      <c r="C74" s="7">
        <f>AVERAGE(C71:C73)</f>
        <v>0.22333333333333336</v>
      </c>
      <c r="F74" s="6" t="s">
        <v>7</v>
      </c>
      <c r="G74" s="7">
        <f>AVERAGE(G71:G73)</f>
        <v>0.59</v>
      </c>
      <c r="H74" s="7">
        <f>AVERAGE(H71:H73)</f>
        <v>0.56999999999999995</v>
      </c>
      <c r="J74" s="6" t="s">
        <v>7</v>
      </c>
      <c r="K74" s="7">
        <f>AVERAGE(K71:K73)</f>
        <v>0.13666666666666666</v>
      </c>
      <c r="L74" s="7">
        <f>AVERAGE(L71:L73)</f>
        <v>-0.34666666666666668</v>
      </c>
    </row>
    <row r="75" spans="1:12" ht="18" x14ac:dyDescent="0.6">
      <c r="B75" s="9" t="s">
        <v>19</v>
      </c>
      <c r="K75" s="9" t="s">
        <v>19</v>
      </c>
    </row>
    <row r="76" spans="1:12" ht="20.7" x14ac:dyDescent="0.7">
      <c r="A76" s="1" t="s">
        <v>9</v>
      </c>
      <c r="B76" s="2" t="s">
        <v>2</v>
      </c>
      <c r="C76" s="3" t="s">
        <v>3</v>
      </c>
      <c r="F76" s="1" t="s">
        <v>9</v>
      </c>
      <c r="G76" s="2" t="s">
        <v>2</v>
      </c>
      <c r="H76" s="3" t="s">
        <v>3</v>
      </c>
      <c r="J76" s="1" t="s">
        <v>9</v>
      </c>
      <c r="K76" s="2" t="s">
        <v>2</v>
      </c>
      <c r="L76" s="3" t="s">
        <v>3</v>
      </c>
    </row>
    <row r="77" spans="1:12" x14ac:dyDescent="0.5">
      <c r="A77" t="s">
        <v>14</v>
      </c>
      <c r="B77" s="4">
        <v>0.92</v>
      </c>
      <c r="C77" s="4">
        <v>0.8</v>
      </c>
      <c r="F77" t="s">
        <v>1</v>
      </c>
      <c r="G77" s="4">
        <v>0.66</v>
      </c>
      <c r="H77" s="4">
        <v>0.67</v>
      </c>
      <c r="J77" t="s">
        <v>1</v>
      </c>
      <c r="K77" s="4">
        <f>B77-G77</f>
        <v>0.26</v>
      </c>
      <c r="L77" s="4">
        <f>C77-H77</f>
        <v>0.13</v>
      </c>
    </row>
    <row r="78" spans="1:12" x14ac:dyDescent="0.5">
      <c r="A78" t="s">
        <v>15</v>
      </c>
      <c r="B78" s="4">
        <v>0.85</v>
      </c>
      <c r="C78" s="4">
        <v>0.5</v>
      </c>
      <c r="F78" t="s">
        <v>4</v>
      </c>
      <c r="G78" s="4">
        <v>0.57999999999999996</v>
      </c>
      <c r="H78" s="4">
        <v>0.54</v>
      </c>
      <c r="J78" t="s">
        <v>4</v>
      </c>
      <c r="K78" s="4">
        <f t="shared" ref="K78:K79" si="21">B78-G78</f>
        <v>0.27</v>
      </c>
      <c r="L78" s="4">
        <f t="shared" ref="L78:L79" si="22">C78-H78</f>
        <v>-4.0000000000000036E-2</v>
      </c>
    </row>
    <row r="79" spans="1:12" x14ac:dyDescent="0.5">
      <c r="A79" t="s">
        <v>16</v>
      </c>
      <c r="B79" s="4">
        <v>0.59</v>
      </c>
      <c r="C79" s="4">
        <v>0.3</v>
      </c>
      <c r="F79" t="s">
        <v>6</v>
      </c>
      <c r="G79" s="4">
        <v>0.57999999999999996</v>
      </c>
      <c r="H79" s="4">
        <v>0.53</v>
      </c>
      <c r="J79" t="s">
        <v>6</v>
      </c>
      <c r="K79" s="4">
        <f t="shared" si="21"/>
        <v>1.0000000000000009E-2</v>
      </c>
      <c r="L79" s="4">
        <f t="shared" si="22"/>
        <v>-0.23000000000000004</v>
      </c>
    </row>
    <row r="80" spans="1:12" x14ac:dyDescent="0.5">
      <c r="A80" s="6" t="s">
        <v>7</v>
      </c>
      <c r="B80" s="7">
        <f>AVERAGE(B77:B79)</f>
        <v>0.78666666666666663</v>
      </c>
      <c r="C80" s="7">
        <f>AVERAGE(C77:C79)</f>
        <v>0.53333333333333333</v>
      </c>
      <c r="F80" s="6" t="s">
        <v>7</v>
      </c>
      <c r="G80" s="7">
        <f>AVERAGE(G77:G79)</f>
        <v>0.60666666666666658</v>
      </c>
      <c r="H80" s="7">
        <f>AVERAGE(H77:H79)</f>
        <v>0.57999999999999996</v>
      </c>
      <c r="J80" s="6" t="s">
        <v>7</v>
      </c>
      <c r="K80" s="7">
        <f>AVERAGE(K77:K79)</f>
        <v>0.18000000000000002</v>
      </c>
      <c r="L80" s="7">
        <f>AVERAGE(L77:L79)</f>
        <v>-4.666666666666669E-2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Lycan</dc:creator>
  <cp:lastModifiedBy>Ali Soltanian Fard Jahromi</cp:lastModifiedBy>
  <dcterms:created xsi:type="dcterms:W3CDTF">2015-06-05T18:17:20Z</dcterms:created>
  <dcterms:modified xsi:type="dcterms:W3CDTF">2026-09-18T02:25:36Z</dcterms:modified>
</cp:coreProperties>
</file>